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iego\Downloads\Andy\"/>
    </mc:Choice>
  </mc:AlternateContent>
  <xr:revisionPtr revIDLastSave="0" documentId="13_ncr:1_{F84144CC-C1B0-4ECA-91E0-D8BBDF130E9D}" xr6:coauthVersionLast="47" xr6:coauthVersionMax="47" xr10:uidLastSave="{00000000-0000-0000-0000-000000000000}"/>
  <bookViews>
    <workbookView xWindow="1500" yWindow="1230" windowWidth="19365" windowHeight="13500" tabRatio="867" xr2:uid="{42E657E6-BE71-47AD-8199-042C7F979E22}"/>
  </bookViews>
  <sheets>
    <sheet name="Inicio" sheetId="1" r:id="rId1"/>
  </sheets>
  <definedNames>
    <definedName name="DatosExternos_1" localSheetId="0" hidden="1">Inicio!$G$10:$I$11</definedName>
    <definedName name="DatosExternos_2" localSheetId="0" hidden="1">Inicio!$G$14:$I$15</definedName>
    <definedName name="DatosExternos_3" localSheetId="0" hidden="1">Inicio!$G$18:$I$19</definedName>
    <definedName name="Ruta_Padrones">Inicio!$C$6</definedName>
    <definedName name="ValorBuscado">Inicio!$H$4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GIP_Perc_Ret_c1780df2-2b18-4bb8-9d3b-9d3dbd65b45a" name="AGIP_Perc_Ret" connection="Consulta - AGIP_Perc_Ret"/>
          <x15:modelTable id="Bs_As_Perc_9b467e77-a4d7-4efa-bbeb-322656f08ec4" name="Bs_As_Perc" connection="Consulta - Bs_As_Perc"/>
          <x15:modelTable id="Bs_As_Ret_e52b69a2-c73e-4585-ad6a-624436d0baac" name="Bs_As_Ret" connection="Consulta - Bs_As_Re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1" l="1"/>
  <c r="C14" i="1"/>
  <c r="C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1071F95-2242-40DE-891A-B5660E2B23ED}" name="Consulta - AGIP_Perc_Ret" description="Conexión a la consulta 'AGIP_Perc_Ret' en el libro." type="100" refreshedVersion="8" minRefreshableVersion="5" saveData="1">
    <extLst>
      <ext xmlns:x15="http://schemas.microsoft.com/office/spreadsheetml/2010/11/main" uri="{DE250136-89BD-433C-8126-D09CA5730AF9}">
        <x15:connection id="eaedce7d-5e25-4ad1-94db-adb91c775ec3"/>
      </ext>
    </extLst>
  </connection>
  <connection id="2" xr16:uid="{DA2F2C11-A0E1-45AD-A1ED-5380A3E485CA}" name="Consulta - Bs_As_Perc" description="Conexión a la consulta 'Bs_As_Perc' en el libro." type="100" refreshedVersion="8" minRefreshableVersion="5">
    <extLst>
      <ext xmlns:x15="http://schemas.microsoft.com/office/spreadsheetml/2010/11/main" uri="{DE250136-89BD-433C-8126-D09CA5730AF9}">
        <x15:connection id="6ba2d24d-ac53-4324-b740-d97b60e84744"/>
      </ext>
    </extLst>
  </connection>
  <connection id="3" xr16:uid="{43183B13-1761-4610-9232-950353E85266}" name="Consulta - Bs_As_Ret" description="Conexión a la consulta 'Bs_As_Ret' en el libro." type="100" refreshedVersion="8" minRefreshableVersion="5">
    <extLst>
      <ext xmlns:x15="http://schemas.microsoft.com/office/spreadsheetml/2010/11/main" uri="{DE250136-89BD-433C-8126-D09CA5730AF9}">
        <x15:connection id="a3079014-553d-470f-8ba4-ff4724d121c5"/>
      </ext>
    </extLst>
  </connection>
  <connection id="4" xr16:uid="{5CE4E25C-180E-4F13-9886-93F0237F0D45}" keepAlive="1" name="Consulta - PADRONES" description="Conexión a la consulta 'PADRONES' en el libro." type="5" refreshedVersion="0" background="1">
    <dbPr connection="Provider=Microsoft.Mashup.OleDb.1;Data Source=$Workbook$;Location=PADRONES;Extended Properties=&quot;&quot;" command="SELECT * FROM [PADRONES]"/>
  </connection>
  <connection id="5" xr16:uid="{41F76FE0-35F9-4126-BA44-30F6A0347C00}" keepAlive="1" name="Consulta - Padrones_Nombres" description="Conexión a la consulta 'Padrones_Nombres' en el libro." type="5" refreshedVersion="8" background="1" saveData="1">
    <dbPr connection="Provider=Microsoft.Mashup.OleDb.1;Data Source=$Workbook$;Location=Padrones_Nombres;Extended Properties=&quot;&quot;" command="SELECT * FROM [Padrones_Nombres]"/>
  </connection>
  <connection id="6" xr16:uid="{126BB149-B842-4F5F-8420-9326AAA0EF75}" keepAlive="1" name="ModelConnection_DatosExternos_1" description="Modelo de datos" type="5" refreshedVersion="8" minRefreshableVersion="5" saveData="1">
    <dbPr connection="Data Model Connection" command="AGIP_Perc_Ret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539A5E12-FFA7-4FF6-A783-D8D8EA05EEED}" keepAlive="1" name="ModelConnection_DatosExternos_2" description="Modelo de datos" type="5" refreshedVersion="8" minRefreshableVersion="5" saveData="1">
    <dbPr connection="Data Model Connection" command="Bs_As_Perc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1F3D87D5-0481-461B-AE13-25FF5D6291E5}" keepAlive="1" name="ModelConnection_DatosExternos_3" description="Modelo de datos" type="5" refreshedVersion="8" minRefreshableVersion="5" saveData="1">
    <dbPr connection="Data Model Connection" command="Bs_As_Ret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9485DB88-8771-4608-B037-0EEF1E64570C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<sst xmlns="http://schemas.openxmlformats.org/spreadsheetml/2006/main" count="27" uniqueCount="18">
  <si>
    <t xml:space="preserve">CUIT: </t>
  </si>
  <si>
    <t>PERIODO:</t>
  </si>
  <si>
    <t>Archivos de Padrones que se actulizaran:</t>
  </si>
  <si>
    <t>Padrones_Nombres</t>
  </si>
  <si>
    <t>CUIT</t>
  </si>
  <si>
    <t>Alicuota_Percepciones</t>
  </si>
  <si>
    <t>Alicuota_Reteciones</t>
  </si>
  <si>
    <t>RETENCIONES Y PERCEPCIONES DE CABA</t>
  </si>
  <si>
    <t>Alícuota</t>
  </si>
  <si>
    <t>Nro Grupo</t>
  </si>
  <si>
    <t>PERCEPCIONES Bs As</t>
  </si>
  <si>
    <t>RETENCIONES Bs As</t>
  </si>
  <si>
    <t>Ruta de Guardado de Padornes:</t>
  </si>
  <si>
    <t>C:\PADRONES</t>
  </si>
  <si>
    <t>34686233482</t>
  </si>
  <si>
    <t>0,00</t>
  </si>
  <si>
    <t>01</t>
  </si>
  <si>
    <t>3,00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</si>
</sst>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yyyy"/>
  </numFmts>
  <fonts count="5" x14ac:knownFonts="1">
    <font>
      <sz val="11"/>
      <color theme="1"/>
      <name val="Aptos Narrow"/>
      <family val="2"/>
      <scheme val="minor"/>
    </font>
    <font>
      <b/>
      <sz val="11"/>
      <color theme="7" tint="-0.249977111117893"/>
      <name val="Aptos Narrow"/>
      <family val="2"/>
      <scheme val="minor"/>
    </font>
    <font>
      <b/>
      <sz val="11"/>
      <color theme="7"/>
      <name val="Aptos Narrow"/>
      <family val="2"/>
      <scheme val="minor"/>
    </font>
    <font>
      <b/>
      <sz val="11"/>
      <color rgb="FF0066CC"/>
      <name val="Aptos Narrow"/>
      <family val="2"/>
    </font>
    <font>
      <b/>
      <sz val="11"/>
      <color theme="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theme="7" tint="-0.24994659260841701"/>
      </left>
      <right style="medium">
        <color theme="7" tint="-0.24994659260841701"/>
      </right>
      <top style="medium">
        <color theme="7" tint="-0.24994659260841701"/>
      </top>
      <bottom style="medium">
        <color theme="7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164" fontId="2" fillId="3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164" fontId="2" fillId="3" borderId="2" xfId="0" applyNumberFormat="1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0" fillId="4" borderId="0" xfId="0" applyFill="1"/>
    <xf numFmtId="164" fontId="2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" fillId="4" borderId="0" xfId="0" applyFont="1" applyFill="1" applyAlignment="1">
      <alignment horizontal="right"/>
    </xf>
    <xf numFmtId="164" fontId="2" fillId="4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164" fontId="2" fillId="6" borderId="2" xfId="0" applyNumberFormat="1" applyFont="1" applyFill="1" applyBorder="1" applyAlignment="1">
      <alignment horizontal="center"/>
    </xf>
  </cellXfs>
  <cellStyles count="1">
    <cellStyle name="Normal" xfId="0" builtinId="0"/>
  </cellStyles>
  <dxfs count="19"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bgColor theme="4"/>
        </patternFill>
      </fill>
      <alignment horizontal="center" vertical="bottom" textRotation="0" wrapText="0" indent="0" justifyLastLine="0" shrinkToFit="0" readingOrder="0"/>
    </dxf>
    <dxf>
      <fill>
        <patternFill patternType="solid">
          <bgColor theme="4"/>
        </patternFill>
      </fill>
      <alignment horizontal="center" vertical="bottom" textRotation="0" wrapText="0" indent="0" justifyLastLine="0" shrinkToFit="0" readingOrder="0"/>
    </dxf>
    <dxf>
      <fill>
        <patternFill patternType="solid">
          <bgColor theme="4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164" formatCode="mm/yyyy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openxmlformats.org/officeDocument/2006/relationships/customXml" Target="../customXml/item6.xml"/><Relationship Id="rId18" Type="http://schemas.openxmlformats.org/officeDocument/2006/relationships/customXml" Target="../customXml/item11.xml"/><Relationship Id="rId26" Type="http://schemas.openxmlformats.org/officeDocument/2006/relationships/customXml" Target="../customXml/item19.xml"/><Relationship Id="rId3" Type="http://schemas.openxmlformats.org/officeDocument/2006/relationships/connections" Target="connections.xml"/><Relationship Id="rId21" Type="http://schemas.openxmlformats.org/officeDocument/2006/relationships/customXml" Target="../customXml/item14.xml"/><Relationship Id="rId7" Type="http://schemas.openxmlformats.org/officeDocument/2006/relationships/calcChain" Target="calcChain.xml"/><Relationship Id="rId12" Type="http://schemas.openxmlformats.org/officeDocument/2006/relationships/customXml" Target="../customXml/item5.xml"/><Relationship Id="rId17" Type="http://schemas.openxmlformats.org/officeDocument/2006/relationships/customXml" Target="../customXml/item10.xml"/><Relationship Id="rId25" Type="http://schemas.openxmlformats.org/officeDocument/2006/relationships/customXml" Target="../customXml/item18.xml"/><Relationship Id="rId2" Type="http://schemas.openxmlformats.org/officeDocument/2006/relationships/theme" Target="theme/theme1.xml"/><Relationship Id="rId16" Type="http://schemas.openxmlformats.org/officeDocument/2006/relationships/customXml" Target="../customXml/item9.xml"/><Relationship Id="rId20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11" Type="http://schemas.openxmlformats.org/officeDocument/2006/relationships/customXml" Target="../customXml/item4.xml"/><Relationship Id="rId24" Type="http://schemas.openxmlformats.org/officeDocument/2006/relationships/customXml" Target="../customXml/item17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8.xml"/><Relationship Id="rId23" Type="http://schemas.openxmlformats.org/officeDocument/2006/relationships/customXml" Target="../customXml/item16.xml"/><Relationship Id="rId10" Type="http://schemas.openxmlformats.org/officeDocument/2006/relationships/customXml" Target="../customXml/item3.xml"/><Relationship Id="rId19" Type="http://schemas.openxmlformats.org/officeDocument/2006/relationships/customXml" Target="../customXml/item12.xml"/><Relationship Id="rId4" Type="http://schemas.openxmlformats.org/officeDocument/2006/relationships/styles" Target="styles.xml"/><Relationship Id="rId9" Type="http://schemas.openxmlformats.org/officeDocument/2006/relationships/customXml" Target="../customXml/item2.xml"/><Relationship Id="rId14" Type="http://schemas.openxmlformats.org/officeDocument/2006/relationships/customXml" Target="../customXml/item7.xml"/><Relationship Id="rId22" Type="http://schemas.openxmlformats.org/officeDocument/2006/relationships/customXml" Target="../customXml/item15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86592</xdr:colOff>
      <xdr:row>0</xdr:row>
      <xdr:rowOff>41765</xdr:rowOff>
    </xdr:from>
    <xdr:ext cx="10139794" cy="512417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93D97EDF-B9EE-1D55-DF3C-278DAB65C169}"/>
            </a:ext>
          </a:extLst>
        </xdr:cNvPr>
        <xdr:cNvSpPr/>
      </xdr:nvSpPr>
      <xdr:spPr>
        <a:xfrm>
          <a:off x="86592" y="41765"/>
          <a:ext cx="10139794" cy="512417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200" b="0" cap="none" spc="0">
              <a:ln w="0"/>
              <a:gradFill>
                <a:gsLst>
                  <a:gs pos="0">
                    <a:schemeClr val="accent4">
                      <a:lumMod val="50000"/>
                    </a:schemeClr>
                  </a:gs>
                  <a:gs pos="50000">
                    <a:schemeClr val="accent4">
                      <a:lumMod val="75000"/>
                    </a:schemeClr>
                  </a:gs>
                  <a:gs pos="100000">
                    <a:schemeClr val="accent4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PERCEPCION Y RETENCIONES IIBB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19050</xdr:rowOff>
        </xdr:from>
        <xdr:to>
          <xdr:col>4</xdr:col>
          <xdr:colOff>19050</xdr:colOff>
          <xdr:row>18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Aptos Narrow"/>
                </a:rPr>
                <a:t>Actualizar Padrones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180975</xdr:rowOff>
        </xdr:from>
        <xdr:to>
          <xdr:col>9</xdr:col>
          <xdr:colOff>0</xdr:colOff>
          <xdr:row>6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66CC"/>
                  </a:solidFill>
                  <a:latin typeface="Aptos Narrow"/>
                </a:rPr>
                <a:t>Buscar en Padrones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6" xr16:uid="{0752096C-1139-44D1-9BA4-8E7AB21A3A8F}" autoFormatId="16" applyNumberFormats="0" applyBorderFormats="0" applyFontFormats="0" applyPatternFormats="0" applyAlignmentFormats="0" applyWidthHeightFormats="0">
  <queryTableRefresh nextId="14">
    <queryTableFields count="3">
      <queryTableField id="4" name="CUIT" tableColumnId="4"/>
      <queryTableField id="8" name="Alicuota_Percepciones" tableColumnId="8"/>
      <queryTableField id="9" name="Alicuota_Reteciones" tableColumnId="9"/>
    </queryTableFields>
  </queryTableRefresh>
  <extLst>
    <ext xmlns:x15="http://schemas.microsoft.com/office/spreadsheetml/2010/11/main" uri="{883FBD77-0823-4a55-B5E3-86C4891E6966}">
      <x15:queryTable sourceDataName="Consulta - AGIP_Perc_Ret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backgroundRefresh="0" connectionId="7" xr16:uid="{1258516F-80C1-4953-8BD5-D4111240BD9A}" autoFormatId="16" applyNumberFormats="0" applyBorderFormats="0" applyFontFormats="0" applyPatternFormats="0" applyAlignmentFormats="0" applyWidthHeightFormats="0">
  <queryTableRefresh nextId="4">
    <queryTableFields count="3">
      <queryTableField id="1" name="CUIT" tableColumnId="1"/>
      <queryTableField id="2" name="Alícuota" tableColumnId="2"/>
      <queryTableField id="3" name="Nro Grupo" tableColumnId="3"/>
    </queryTableFields>
  </queryTableRefresh>
  <extLst>
    <ext xmlns:x15="http://schemas.microsoft.com/office/spreadsheetml/2010/11/main" uri="{883FBD77-0823-4a55-B5E3-86C4891E6966}">
      <x15:queryTable sourceDataName="Consulta - Bs_As_Perc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backgroundRefresh="0" connectionId="8" xr16:uid="{545CC9A8-109C-47A9-B207-6EC27B48F3B6}" autoFormatId="16" applyNumberFormats="0" applyBorderFormats="0" applyFontFormats="0" applyPatternFormats="0" applyAlignmentFormats="0" applyWidthHeightFormats="0">
  <queryTableRefresh nextId="4">
    <queryTableFields count="3">
      <queryTableField id="1" name="CUIT" tableColumnId="1"/>
      <queryTableField id="2" name="Alícuota" tableColumnId="2"/>
      <queryTableField id="3" name="Nro Grupo" tableColumnId="3"/>
    </queryTableFields>
  </queryTableRefresh>
  <extLst>
    <ext xmlns:x15="http://schemas.microsoft.com/office/spreadsheetml/2010/11/main" uri="{883FBD77-0823-4a55-B5E3-86C4891E6966}">
      <x15:queryTable sourceDataName="Consulta - Bs_As_Ret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AD11DA6-2C46-49B3-AA20-BF71B86227FE}" name="Tabla11" displayName="Tabla11" ref="C12:C15" totalsRowShown="0" headerRowDxfId="12" dataDxfId="16" tableBorderDxfId="18">
  <tableColumns count="1">
    <tableColumn id="1" xr3:uid="{7856FF77-8489-4760-9429-8F094A101B8E}" name="Padrones_Nombres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57FD50-C817-4D73-8E5B-47D3CD40D67A}" name="AGIP_Perc_Ret" displayName="AGIP_Perc_Ret" ref="G10:I11" tableType="queryTable" totalsRowShown="0" headerRowDxfId="11" dataDxfId="15">
  <autoFilter ref="G10:I11" xr:uid="{4A57FD50-C817-4D73-8E5B-47D3CD40D67A}"/>
  <tableColumns count="3">
    <tableColumn id="4" xr3:uid="{CD40E13A-7150-461D-8D90-E07C6B52D1CC}" uniqueName="4" name="CUIT" queryTableFieldId="4" dataDxfId="2"/>
    <tableColumn id="8" xr3:uid="{CA7CBDC9-0C69-4615-8F75-D1686C4ADF9F}" uniqueName="8" name="Alicuota_Percepciones" queryTableFieldId="8" dataDxfId="1"/>
    <tableColumn id="9" xr3:uid="{D94B0BCD-8858-4184-BD5A-A8A3399BDA6C}" uniqueName="9" name="Alicuota_Reteciones" queryTableFieldId="9" dataDxfId="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B019B1-8AA5-4D38-B755-4AF9953C89A9}" name="Bs_As_Perc" displayName="Bs_As_Perc" ref="G14:I15" tableType="queryTable" totalsRowShown="0" headerRowDxfId="10" dataDxfId="14">
  <autoFilter ref="G14:I15" xr:uid="{17B019B1-8AA5-4D38-B755-4AF9953C89A9}"/>
  <tableColumns count="3">
    <tableColumn id="1" xr3:uid="{565F3BF5-6E0C-4FC8-AF4E-5A9B6F6BFA75}" uniqueName="1" name="CUIT" queryTableFieldId="1" dataDxfId="5"/>
    <tableColumn id="2" xr3:uid="{90A71324-7C12-4A53-8C34-B998E1783C5F}" uniqueName="2" name="Alícuota" queryTableFieldId="2" dataDxfId="4"/>
    <tableColumn id="3" xr3:uid="{3127A73E-EBB8-49B9-B774-ACEA64328AB2}" uniqueName="3" name="Nro Grupo" queryTableFieldId="3" dataDxfId="3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57E217-A9A9-4B20-AE13-6F744EA0F973}" name="Bs_As_Ret" displayName="Bs_As_Ret" ref="G18:I19" tableType="queryTable" totalsRowShown="0" headerRowDxfId="9" dataDxfId="13">
  <autoFilter ref="G18:I19" xr:uid="{F357E217-A9A9-4B20-AE13-6F744EA0F973}"/>
  <tableColumns count="3">
    <tableColumn id="1" xr3:uid="{CBF8BD43-484D-4319-BAD0-73C617BD9190}" uniqueName="1" name="CUIT" queryTableFieldId="1" dataDxfId="8"/>
    <tableColumn id="2" xr3:uid="{D5D39D88-8998-4ABA-BBC9-E0AE0D456332}" uniqueName="2" name="Alícuota" queryTableFieldId="2" dataDxfId="7"/>
    <tableColumn id="3" xr3:uid="{F5988FF8-7A05-4668-8822-DA24C94C7140}" uniqueName="3" name="Nro Grupo" queryTableFieldId="3" dataDxfId="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4E6A512-2601-4283-9A0C-6B863FDECEFD}">
  <we:reference id="wa104381701" version="1.0.0.4" store="es-ES" storeType="OMEX"/>
  <we:alternateReferences>
    <we:reference id="wa104381701" version="1.0.0.4" store="WA10438170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4145F-93EC-46C6-BF5E-A8A19057E322}">
  <sheetPr codeName="Hoja1"/>
  <dimension ref="B2:I19"/>
  <sheetViews>
    <sheetView tabSelected="1" zoomScale="110" zoomScaleNormal="110" workbookViewId="0">
      <selection activeCell="I25" sqref="I25"/>
    </sheetView>
  </sheetViews>
  <sheetFormatPr baseColWidth="10" defaultRowHeight="15" x14ac:dyDescent="0.25"/>
  <cols>
    <col min="1" max="1" width="6.28515625" style="5" customWidth="1"/>
    <col min="2" max="4" width="23" style="5" customWidth="1"/>
    <col min="5" max="6" width="4.7109375" style="5" customWidth="1"/>
    <col min="7" max="9" width="23" style="5" customWidth="1"/>
    <col min="10" max="11" width="4.7109375" style="5" customWidth="1"/>
    <col min="12" max="12" width="12.140625" style="5" bestFit="1" customWidth="1"/>
    <col min="13" max="13" width="29.5703125" style="5" bestFit="1" customWidth="1"/>
    <col min="14" max="14" width="17.7109375" style="5" bestFit="1" customWidth="1"/>
    <col min="15" max="16384" width="11.42578125" style="5"/>
  </cols>
  <sheetData>
    <row r="2" spans="2:9" ht="27" customHeight="1" x14ac:dyDescent="0.25"/>
    <row r="3" spans="2:9" ht="15.75" thickBot="1" x14ac:dyDescent="0.3">
      <c r="H3" s="6"/>
    </row>
    <row r="4" spans="2:9" ht="15.75" thickBot="1" x14ac:dyDescent="0.3">
      <c r="G4" s="7" t="s">
        <v>0</v>
      </c>
      <c r="H4" s="8">
        <v>34686233482</v>
      </c>
    </row>
    <row r="5" spans="2:9" ht="15.75" thickBot="1" x14ac:dyDescent="0.3"/>
    <row r="6" spans="2:9" ht="15.75" thickBot="1" x14ac:dyDescent="0.3">
      <c r="B6" s="9" t="s">
        <v>12</v>
      </c>
      <c r="C6" s="8" t="s">
        <v>13</v>
      </c>
    </row>
    <row r="7" spans="2:9" ht="15.75" thickBot="1" x14ac:dyDescent="0.3"/>
    <row r="8" spans="2:9" ht="15.75" thickBot="1" x14ac:dyDescent="0.3">
      <c r="B8" s="7" t="s">
        <v>1</v>
      </c>
      <c r="C8" s="10">
        <v>45901</v>
      </c>
    </row>
    <row r="9" spans="2:9" x14ac:dyDescent="0.25">
      <c r="B9" s="7"/>
      <c r="C9" s="6"/>
      <c r="G9" s="4" t="s">
        <v>7</v>
      </c>
      <c r="H9" s="4"/>
      <c r="I9" s="4"/>
    </row>
    <row r="10" spans="2:9" x14ac:dyDescent="0.25">
      <c r="B10" s="7" t="s">
        <v>2</v>
      </c>
      <c r="C10" s="6"/>
      <c r="G10" s="12" t="s">
        <v>4</v>
      </c>
      <c r="H10" s="12" t="s">
        <v>5</v>
      </c>
      <c r="I10" s="12" t="s">
        <v>6</v>
      </c>
    </row>
    <row r="11" spans="2:9" x14ac:dyDescent="0.25">
      <c r="B11" s="7"/>
      <c r="G11" s="11" t="s">
        <v>14</v>
      </c>
      <c r="H11" s="11" t="s">
        <v>17</v>
      </c>
      <c r="I11" s="11" t="s">
        <v>17</v>
      </c>
    </row>
    <row r="12" spans="2:9" x14ac:dyDescent="0.25">
      <c r="B12" s="7"/>
      <c r="C12" s="2" t="s">
        <v>3</v>
      </c>
    </row>
    <row r="13" spans="2:9" x14ac:dyDescent="0.25">
      <c r="B13" s="7"/>
      <c r="C13" s="1" t="str">
        <f>CONCATENATE("ARDJU008",REPT("0",2-LEN(MONTH($C$8)))&amp;MONTH($C$8),YEAR($C$8),".TXT")</f>
        <v>ARDJU008092025.TXT</v>
      </c>
      <c r="G13" s="4" t="s">
        <v>10</v>
      </c>
      <c r="H13" s="4"/>
      <c r="I13" s="4"/>
    </row>
    <row r="14" spans="2:9" x14ac:dyDescent="0.25">
      <c r="B14" s="7"/>
      <c r="C14" s="13" t="str">
        <f>CONCATENATE("PadronRGSPer",REPT("0",2-LEN(MONTH($C$8)))&amp;MONTH($C$8),YEAR($C$8),".TXT")</f>
        <v>PadronRGSPer092025.TXT</v>
      </c>
      <c r="G14" s="12" t="s">
        <v>4</v>
      </c>
      <c r="H14" s="12" t="s">
        <v>8</v>
      </c>
      <c r="I14" s="12" t="s">
        <v>9</v>
      </c>
    </row>
    <row r="15" spans="2:9" x14ac:dyDescent="0.25">
      <c r="B15" s="7"/>
      <c r="C15" s="3" t="str">
        <f>CONCATENATE("PadronRGSRet",REPT("0",2-LEN(MONTH($C$8)))&amp;MONTH($C$8),YEAR($C$8),".TXT")</f>
        <v>PadronRGSRet092025.TXT</v>
      </c>
      <c r="G15" s="11" t="s">
        <v>14</v>
      </c>
      <c r="H15" s="11" t="s">
        <v>15</v>
      </c>
      <c r="I15" s="11" t="s">
        <v>16</v>
      </c>
    </row>
    <row r="16" spans="2:9" x14ac:dyDescent="0.25">
      <c r="C16" s="6"/>
    </row>
    <row r="17" spans="2:9" x14ac:dyDescent="0.25">
      <c r="B17" s="7"/>
      <c r="C17" s="6"/>
      <c r="G17" s="4" t="s">
        <v>11</v>
      </c>
      <c r="H17" s="4"/>
      <c r="I17" s="4"/>
    </row>
    <row r="18" spans="2:9" x14ac:dyDescent="0.25">
      <c r="B18" s="7"/>
      <c r="C18" s="6"/>
      <c r="G18" s="12" t="s">
        <v>4</v>
      </c>
      <c r="H18" s="12" t="s">
        <v>8</v>
      </c>
      <c r="I18" s="12" t="s">
        <v>9</v>
      </c>
    </row>
    <row r="19" spans="2:9" x14ac:dyDescent="0.25">
      <c r="C19" s="6"/>
      <c r="G19" s="11" t="s">
        <v>14</v>
      </c>
      <c r="H19" s="11" t="s">
        <v>15</v>
      </c>
      <c r="I19" s="11" t="s">
        <v>16</v>
      </c>
    </row>
  </sheetData>
  <mergeCells count="3">
    <mergeCell ref="G9:I9"/>
    <mergeCell ref="G13:I13"/>
    <mergeCell ref="G17:I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ctualizarTodasLasConsultas">
                <anchor moveWithCells="1" sizeWithCells="1">
                  <from>
                    <xdr:col>1</xdr:col>
                    <xdr:colOff>0</xdr:colOff>
                    <xdr:row>16</xdr:row>
                    <xdr:rowOff>19050</xdr:rowOff>
                  </from>
                  <to>
                    <xdr:col>4</xdr:col>
                    <xdr:colOff>19050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scar_en_Padrones">
                <anchor moveWithCells="1" sizeWithCells="1">
                  <from>
                    <xdr:col>6</xdr:col>
                    <xdr:colOff>0</xdr:colOff>
                    <xdr:row>4</xdr:row>
                    <xdr:rowOff>180975</xdr:rowOff>
                  </from>
                  <to>
                    <xdr:col>9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75DE178D-C2D6-44BD-A475-9F5A79C18B84}">
  <ds:schemaRefs/>
</ds:datastoreItem>
</file>

<file path=customXml/itemProps2.xml><?xml version="1.0" encoding="utf-8"?>
<ds:datastoreItem xmlns:ds="http://schemas.openxmlformats.org/officeDocument/2006/customXml" ds:itemID="{C5C8F828-51BA-45BA-A107-795B93F89206}">
  <ds:schemaRefs/>
</ds:datastoreItem>
</file>

<file path=customXml/itemProps3.xml><?xml version="1.0" encoding="utf-8"?>
<ds:datastoreItem xmlns:ds="http://schemas.openxmlformats.org/officeDocument/2006/customXml" ds:itemID="{983C6B11-D6F6-4AB0-A94F-F3E726432145}">
  <ds:schemaRefs/>
</ds:datastoreItem>
</file>

<file path=customXml/itemProps4.xml><?xml version="1.0" encoding="utf-8"?>
<ds:datastoreItem xmlns:ds="http://schemas.openxmlformats.org/officeDocument/2006/customXml" ds:itemID="{CCA4407A-81FB-4326-83B7-B2BF4E3C1FBA}">
  <ds:schemaRefs/>
</ds:datastoreItem>
</file>

<file path=customXml/itemProps5.xml><?xml version="1.0" encoding="utf-8"?>
<ds:datastoreItem xmlns:ds="http://schemas.openxmlformats.org/officeDocument/2006/customXml" ds:itemID="{68B1E995-F7C9-4373-AFEB-7F7930F828EA}">
  <ds:schemaRefs/>
</ds:datastoreItem>
</file>

<file path=customXml/itemProps6.xml><?xml version="1.0" encoding="utf-8"?>
<ds:datastoreItem xmlns:ds="http://schemas.openxmlformats.org/officeDocument/2006/customXml" ds:itemID="{CF91B115-DFF2-47BA-86D3-DD6369468E5A}">
  <ds:schemaRefs/>
</ds:datastoreItem>
</file>

<file path=customXml/itemProps7.xml><?xml version="1.0" encoding="utf-8"?>
<ds:datastoreItem xmlns:ds="http://schemas.openxmlformats.org/officeDocument/2006/customXml" ds:itemID="{FC00C831-7B21-4D15-8BE0-946A46923B66}">
  <ds:schemaRefs/>
</ds:datastoreItem>
</file>

<file path=customXml/itemProps8.xml><?xml version="1.0" encoding="utf-8"?>
<ds:datastoreItem xmlns:ds="http://schemas.openxmlformats.org/officeDocument/2006/customXml" ds:itemID="{25201EF8-6EC6-40F5-A673-280218CF38B2}">
  <ds:schemaRefs/>
</ds:datastoreItem>
</file>

<file path=customXml/itemProps9.xml><?xml version="1.0" encoding="utf-8"?>
<ds:datastoreItem xmlns:ds="http://schemas.openxmlformats.org/officeDocument/2006/customXml" ds:itemID="{3D1242C1-767A-4BC6-B2A6-FACF56E33392}">
  <ds:schemaRefs/>
</ds:datastoreItem>
</file>

<file path=customXml/itemProps10.xml><?xml version="1.0" encoding="utf-8"?>
<ds:datastoreItem xmlns:ds="http://schemas.openxmlformats.org/officeDocument/2006/customXml" ds:itemID="{8A75CBDF-94FD-4D4C-8024-54185B34E005}">
  <ds:schemaRefs/>
</ds:datastoreItem>
</file>

<file path=customXml/itemProps11.xml><?xml version="1.0" encoding="utf-8"?>
<ds:datastoreItem xmlns:ds="http://schemas.openxmlformats.org/officeDocument/2006/customXml" ds:itemID="{114BA524-AFAD-4F2C-A3A6-D7BBB28E68C1}">
  <ds:schemaRefs/>
</ds:datastoreItem>
</file>

<file path=customXml/itemProps12.xml><?xml version="1.0" encoding="utf-8"?>
<ds:datastoreItem xmlns:ds="http://schemas.openxmlformats.org/officeDocument/2006/customXml" ds:itemID="{5F450A6B-5D18-493C-84DE-7DFAD3D4043F}">
  <ds:schemaRefs/>
</ds:datastoreItem>
</file>

<file path=customXml/itemProps13.xml><?xml version="1.0" encoding="utf-8"?>
<ds:datastoreItem xmlns:ds="http://schemas.openxmlformats.org/officeDocument/2006/customXml" ds:itemID="{920C411C-148F-4762-B700-0E6C175450DF}">
  <ds:schemaRefs/>
</ds:datastoreItem>
</file>

<file path=customXml/itemProps14.xml><?xml version="1.0" encoding="utf-8"?>
<ds:datastoreItem xmlns:ds="http://schemas.openxmlformats.org/officeDocument/2006/customXml" ds:itemID="{27C573C1-04A0-473A-81D0-7D571252409A}">
  <ds:schemaRefs/>
</ds:datastoreItem>
</file>

<file path=customXml/itemProps15.xml><?xml version="1.0" encoding="utf-8"?>
<ds:datastoreItem xmlns:ds="http://schemas.openxmlformats.org/officeDocument/2006/customXml" ds:itemID="{DB89BFE4-E61A-4D70-BCAB-5120D2145C00}">
  <ds:schemaRefs/>
</ds:datastoreItem>
</file>

<file path=customXml/itemProps16.xml><?xml version="1.0" encoding="utf-8"?>
<ds:datastoreItem xmlns:ds="http://schemas.openxmlformats.org/officeDocument/2006/customXml" ds:itemID="{81DEBC9A-AFAC-4252-9296-29CAC32FD71B}">
  <ds:schemaRefs/>
</ds:datastoreItem>
</file>

<file path=customXml/itemProps17.xml><?xml version="1.0" encoding="utf-8"?>
<ds:datastoreItem xmlns:ds="http://schemas.openxmlformats.org/officeDocument/2006/customXml" ds:itemID="{3D9FE972-60DA-4BD0-B756-79B87D4C346F}">
  <ds:schemaRefs/>
</ds:datastoreItem>
</file>

<file path=customXml/itemProps18.xml><?xml version="1.0" encoding="utf-8"?>
<ds:datastoreItem xmlns:ds="http://schemas.openxmlformats.org/officeDocument/2006/customXml" ds:itemID="{8CF61997-D752-44DD-BC6A-A8D6575B54A5}">
  <ds:schemaRefs/>
</ds:datastoreItem>
</file>

<file path=customXml/itemProps19.xml><?xml version="1.0" encoding="utf-8"?>
<ds:datastoreItem xmlns:ds="http://schemas.openxmlformats.org/officeDocument/2006/customXml" ds:itemID="{7C4F9CDD-C2B6-4194-BD0F-038699F107E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Inicio</vt:lpstr>
      <vt:lpstr>Ruta_Padrones</vt:lpstr>
      <vt:lpstr>ValorBuscado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 Magali Corimayo</dc:creator>
  <cp:lastModifiedBy>Andrea Magali Corimayo</cp:lastModifiedBy>
  <dcterms:created xsi:type="dcterms:W3CDTF">2025-10-04T18:52:30Z</dcterms:created>
  <dcterms:modified xsi:type="dcterms:W3CDTF">2025-12-09T00:28:08Z</dcterms:modified>
</cp:coreProperties>
</file>